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CHITRA 8-3-2026\Data_Projects\"/>
    </mc:Choice>
  </mc:AlternateContent>
  <xr:revisionPtr revIDLastSave="0" documentId="13_ncr:1_{DE6D28BE-E73A-406C-B2F6-A67E715D58FC}" xr6:coauthVersionLast="47" xr6:coauthVersionMax="47" xr10:uidLastSave="{00000000-0000-0000-0000-000000000000}"/>
  <bookViews>
    <workbookView xWindow="-108" yWindow="-108" windowWidth="23256" windowHeight="12576" xr2:uid="{BECDAA7B-CF1E-4389-861D-910939491ABB}"/>
  </bookViews>
  <sheets>
    <sheet name="DASHBOARD" sheetId="2" r:id="rId1"/>
    <sheet name="CAlCULATIONS" sheetId="3" r:id="rId2"/>
    <sheet name="DATA" sheetId="1" r:id="rId3"/>
  </sheets>
  <definedNames>
    <definedName name="_xlchart.v1.0" hidden="1">CAlCULATIONS!$M$2:$M$7</definedName>
    <definedName name="_xlchart.v1.1" hidden="1">CAlCULATIONS!$N$2:$N$7</definedName>
    <definedName name="_xlchart.v1.2" hidden="1">CAlCULATIONS!$S$2:$S$6</definedName>
    <definedName name="_xlchart.v1.3" hidden="1">CAlCULATIONS!$T$2:$T$6</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3" l="1"/>
  <c r="T4" i="3"/>
  <c r="T5" i="3"/>
  <c r="T6" i="3"/>
  <c r="T2" i="3"/>
  <c r="N3" i="3"/>
  <c r="N4" i="3"/>
  <c r="N5" i="3"/>
  <c r="N6" i="3"/>
  <c r="N2" i="3"/>
  <c r="E16" i="3"/>
  <c r="D16" i="3"/>
  <c r="C16" i="3"/>
  <c r="B16" i="3"/>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N7" i="3" l="1"/>
</calcChain>
</file>

<file path=xl/sharedStrings.xml><?xml version="1.0" encoding="utf-8"?>
<sst xmlns="http://schemas.openxmlformats.org/spreadsheetml/2006/main" count="4969" uniqueCount="1341">
  <si>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</si>
  <si>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</si>
  <si>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</si>
  <si>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</si>
  <si>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</si>
  <si>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</si>
  <si>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</si>
  <si>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</si>
  <si>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</si>
  <si>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</si>
  <si>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</si>
  <si>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</si>
  <si>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</si>
  <si>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</si>
  <si>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</si>
  <si>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</si>
  <si>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</si>
  <si>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</si>
  <si>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</si>
  <si>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</si>
  <si>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</si>
  <si>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</si>
  <si>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</si>
  <si>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</si>
  <si>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</si>
  <si>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</si>
  <si>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</si>
  <si>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</si>
  <si>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</si>
  <si>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</si>
  <si>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</si>
  <si>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</si>
  <si>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</si>
  <si>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</si>
  <si>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</si>
  <si>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</si>
  <si>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</si>
  <si>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</si>
  <si>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</si>
  <si>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</si>
  <si>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</si>
  <si>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</si>
  <si>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</si>
  <si>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</si>
  <si>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</si>
  <si>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</si>
  <si>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</si>
  <si>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</si>
  <si>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</si>
  <si>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</si>
  <si>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</si>
  <si>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</si>
  <si>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</si>
  <si>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</si>
  <si>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</si>
  <si>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</si>
  <si>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</si>
  <si>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</si>
  <si>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</si>
  <si>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</si>
  <si>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</si>
  <si>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</si>
  <si>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</si>
  <si>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</si>
  <si>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</si>
  <si>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</si>
  <si>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</si>
  <si>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</si>
  <si>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</si>
  <si>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</si>
  <si>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</si>
  <si>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</si>
  <si>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</si>
  <si>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</si>
  <si>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</si>
  <si>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</si>
  <si>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</si>
  <si>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</si>
  <si>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</si>
  <si>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</si>
  <si>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</si>
  <si>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</si>
  <si>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</si>
  <si>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</si>
  <si>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</si>
  <si>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</si>
  <si>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</si>
  <si>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</si>
  <si>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</si>
  <si>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</si>
  <si>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</si>
  <si>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</si>
  <si>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</si>
  <si>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</si>
  <si>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</si>
  <si>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</si>
  <si>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</si>
  <si>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</si>
  <si>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</si>
  <si>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</si>
  <si>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</si>
  <si>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</si>
  <si>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</si>
  <si>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</si>
  <si>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</si>
  <si>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</si>
  <si>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</si>
  <si>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</si>
  <si>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</si>
  <si>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</si>
  <si>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</si>
  <si>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</si>
  <si>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</si>
  <si>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</si>
  <si>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</si>
  <si>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</si>
  <si>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</si>
  <si>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</si>
  <si>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</si>
  <si>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</si>
  <si>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</si>
  <si>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</si>
  <si>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</si>
  <si>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</si>
  <si>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</si>
  <si>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</si>
  <si>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</si>
  <si>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</si>
  <si>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</si>
  <si>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</si>
  <si>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</si>
  <si>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</si>
  <si>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</si>
  <si>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</si>
  <si>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</si>
  <si>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</si>
  <si>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</si>
  <si>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</si>
  <si>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</si>
  <si>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</si>
  <si>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</si>
  <si>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</si>
  <si>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</si>
  <si>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</si>
  <si>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</si>
  <si>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</si>
  <si>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</si>
  <si>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</si>
  <si>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</si>
  <si>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</si>
  <si>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</si>
  <si>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</si>
  <si>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</si>
  <si>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</si>
  <si>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</si>
  <si>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</si>
  <si>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</si>
  <si>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</si>
  <si>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</si>
  <si>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</si>
  <si>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</si>
  <si>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</si>
  <si>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</si>
  <si>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</si>
  <si>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</si>
  <si>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</si>
  <si>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</si>
  <si>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</si>
  <si>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</si>
  <si>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</si>
  <si>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</si>
  <si>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</si>
  <si>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</si>
  <si>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</si>
  <si>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</si>
  <si>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</si>
  <si>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</si>
  <si>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</si>
  <si>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</si>
  <si>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</si>
  <si>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</si>
  <si>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</si>
  <si>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</si>
  <si>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</si>
  <si>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</si>
  <si>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</si>
  <si>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</si>
  <si>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</si>
  <si>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</si>
  <si>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</si>
  <si>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</si>
  <si>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</si>
  <si>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</si>
  <si>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</si>
  <si>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</si>
  <si>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</si>
  <si>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</si>
  <si>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</si>
  <si>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</si>
  <si>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</si>
  <si>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</si>
  <si>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</si>
  <si>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</si>
  <si>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</si>
  <si>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</si>
  <si>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</si>
  <si>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</si>
  <si>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</si>
  <si>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</si>
  <si>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</si>
  <si>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</si>
  <si>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</si>
  <si>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</si>
  <si>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</si>
  <si>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</si>
  <si>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</si>
  <si>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</si>
  <si>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</si>
  <si>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</si>
  <si>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</si>
  <si>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</si>
  <si>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</si>
  <si>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</si>
  <si>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</si>
  <si>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</si>
  <si>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</si>
  <si>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</si>
  <si>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</si>
  <si>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</si>
  <si>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</si>
  <si>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</si>
  <si>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</si>
  <si>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</si>
  <si>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</si>
  <si>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</si>
  <si>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</si>
  <si>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</si>
  <si>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</si>
  <si>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</si>
  <si>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</si>
  <si>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</si>
  <si>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</si>
  <si>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</si>
  <si>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</si>
  <si>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</si>
  <si>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</si>
  <si>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</si>
  <si>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</si>
  <si>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</si>
  <si>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</si>
  <si>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</si>
  <si>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</si>
  <si>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</si>
  <si>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</si>
  <si>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</si>
  <si>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</si>
  <si>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</si>
  <si>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</si>
  <si>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</si>
  <si>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</si>
  <si>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</si>
  <si>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</si>
  <si>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</si>
  <si>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</si>
  <si>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</si>
  <si>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</si>
  <si>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</si>
  <si>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</si>
  <si>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</si>
  <si>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</si>
  <si>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</si>
  <si>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</si>
  <si>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</si>
  <si>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</si>
  <si>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</si>
  <si>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</si>
  <si>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</si>
  <si>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</si>
  <si>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</si>
  <si>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</si>
  <si>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</si>
  <si>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</si>
  <si>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</si>
  <si>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</si>
  <si>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</si>
  <si>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</si>
  <si>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</si>
  <si>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</si>
  <si>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</si>
  <si>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</si>
  <si>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</si>
  <si>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</si>
  <si>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</si>
  <si>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</si>
  <si>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</si>
  <si>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</si>
  <si>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</si>
  <si>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</si>
  <si>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</si>
  <si>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</si>
  <si>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</si>
  <si>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</si>
  <si>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</si>
  <si>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</si>
  <si>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</si>
  <si>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</si>
  <si>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</si>
  <si>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</si>
  <si>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</si>
  <si>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</si>
  <si>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</si>
  <si>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</si>
  <si>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</si>
  <si>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</si>
  <si>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</si>
  <si>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</si>
  <si>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</si>
  <si>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</si>
  <si>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</si>
  <si>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</si>
  <si>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</si>
  <si>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</si>
  <si>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</si>
  <si>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</si>
  <si>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</si>
  <si>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</si>
  <si>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</si>
  <si>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</si>
  <si>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</si>
  <si>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</si>
  <si>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</si>
  <si>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</si>
  <si>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</si>
  <si>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</si>
  <si>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</si>
  <si>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</si>
  <si>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</si>
  <si>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</si>
  <si>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</si>
  <si>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</si>
  <si>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</si>
  <si>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</si>
  <si>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</si>
  <si>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</si>
  <si>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</si>
  <si>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</si>
  <si>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</si>
  <si>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</si>
  <si>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</si>
  <si>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</si>
  <si>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</si>
  <si>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</si>
  <si>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</si>
  <si>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</si>
  <si>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</si>
  <si>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</si>
  <si>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</si>
  <si>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</si>
  <si>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</si>
  <si>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</si>
  <si>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</si>
  <si>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</si>
  <si>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</si>
  <si>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</si>
  <si>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</si>
  <si>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</si>
  <si>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</si>
  <si>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</si>
  <si>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</si>
  <si>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</si>
  <si>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</si>
  <si>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</si>
  <si>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</si>
  <si>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</si>
  <si>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</si>
  <si>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</si>
  <si>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</si>
  <si>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</si>
  <si>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</si>
  <si>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</si>
  <si>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</si>
  <si>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</si>
  <si>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</si>
  <si>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</si>
  <si>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</si>
  <si>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</si>
  <si>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</si>
  <si>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</si>
  <si>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</si>
  <si>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</si>
  <si>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</si>
  <si>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</si>
  <si>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</si>
  <si>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</si>
  <si>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</si>
  <si>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</si>
  <si>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</si>
  <si>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</si>
  <si>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</si>
  <si>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</si>
  <si>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</si>
  <si>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</si>
  <si>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</si>
  <si>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</si>
  <si>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</si>
  <si>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</si>
  <si>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</si>
  <si>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</si>
  <si>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</si>
  <si>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</si>
  <si>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</si>
  <si>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</si>
  <si>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</si>
  <si>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</si>
  <si>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</si>
  <si>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</si>
  <si>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</si>
  <si>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</si>
  <si>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</si>
  <si>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</si>
  <si>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</si>
  <si>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</si>
  <si>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</si>
  <si>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</si>
  <si>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</si>
  <si>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</si>
  <si>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</si>
  <si>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</si>
  <si>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</si>
  <si>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</si>
  <si>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</si>
  <si>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</si>
  <si>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</si>
  <si>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</si>
  <si>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</si>
  <si>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</si>
  <si>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</si>
  <si>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</si>
  <si>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</si>
  <si>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</si>
  <si>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</si>
  <si>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</si>
  <si>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</si>
  <si>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</si>
  <si>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</si>
  <si>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</si>
  <si>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</si>
  <si>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</si>
  <si>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</si>
  <si>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</si>
  <si>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</si>
  <si>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</si>
  <si>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</si>
  <si>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</si>
  <si>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</si>
  <si>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</si>
  <si>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</si>
  <si>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</si>
  <si>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</si>
  <si>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</si>
  <si>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</si>
  <si>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</si>
  <si>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</si>
  <si>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</si>
  <si>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</si>
  <si>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</si>
  <si>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</si>
  <si>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</si>
  <si>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</si>
  <si>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</si>
  <si>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</si>
  <si>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</si>
  <si>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</si>
  <si>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</si>
  <si>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</si>
  <si>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</si>
  <si>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</si>
  <si>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</si>
  <si>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</si>
  <si>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</si>
  <si>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</si>
  <si>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</si>
  <si>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</si>
  <si>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</si>
  <si>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</si>
  <si>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</si>
  <si>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</si>
  <si>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</si>
  <si>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</si>
  <si>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</si>
  <si>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</si>
  <si>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</si>
  <si>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</si>
  <si>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</si>
  <si>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</si>
  <si>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</si>
  <si>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</si>
  <si>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</si>
  <si>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</si>
  <si>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</si>
  <si>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</si>
  <si>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</si>
  <si>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</si>
  <si>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</si>
  <si>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</si>
  <si>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</si>
  <si>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</si>
  <si>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</si>
  <si>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</si>
  <si>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</si>
  <si>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</si>
  <si>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</si>
  <si>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</si>
  <si>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</si>
  <si>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</si>
  <si>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</si>
  <si>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</si>
  <si>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</si>
  <si>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</si>
  <si>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</si>
  <si>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</si>
  <si>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</si>
  <si>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</si>
  <si>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</si>
  <si>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</si>
  <si>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</si>
  <si>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</si>
  <si>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</si>
  <si>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</si>
  <si>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</si>
  <si>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</si>
  <si>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</si>
  <si>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</si>
  <si>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</si>
  <si>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</si>
  <si>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</si>
  <si>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</si>
  <si>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</si>
  <si>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</si>
  <si>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</si>
  <si>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</si>
  <si>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</si>
  <si>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</si>
  <si>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</si>
  <si>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</si>
  <si>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</si>
  <si>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</si>
  <si>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</si>
  <si>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</si>
  <si>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</si>
  <si>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</si>
  <si>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</si>
  <si>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</si>
  <si>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</si>
  <si>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</si>
  <si>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</si>
  <si>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</si>
  <si>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</si>
  <si>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</si>
  <si>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</si>
  <si>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</si>
  <si>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</si>
  <si>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</si>
  <si>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</si>
  <si>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</si>
  <si>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</si>
  <si>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</si>
  <si>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</si>
  <si>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</si>
  <si>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</si>
  <si>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</si>
  <si>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</si>
  <si>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</si>
  <si>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</si>
  <si>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</si>
  <si>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</si>
  <si>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</si>
  <si>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</si>
  <si>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</si>
  <si>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</si>
  <si>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</si>
  <si>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</si>
  <si>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</si>
  <si>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</si>
  <si>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</si>
  <si>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</si>
  <si>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</si>
  <si>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</si>
  <si>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</si>
  <si>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</si>
  <si>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</si>
  <si>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</si>
  <si>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</si>
  <si>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</si>
  <si>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</si>
  <si>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</si>
  <si>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</si>
  <si>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</si>
  <si>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</si>
  <si>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</si>
  <si>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</si>
  <si>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</si>
  <si>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</si>
  <si>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</si>
  <si>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</si>
  <si>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</si>
  <si>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</si>
  <si>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</si>
  <si>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</si>
  <si>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</si>
  <si>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</si>
  <si>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</si>
  <si>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</si>
  <si>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</si>
  <si>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</si>
  <si>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</si>
  <si>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</si>
  <si>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</si>
  <si>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</si>
  <si>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</si>
  <si>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</si>
  <si>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</si>
  <si>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</si>
  <si>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</si>
  <si>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</si>
  <si>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</si>
  <si>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</si>
  <si>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</si>
  <si>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</si>
  <si>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</si>
  <si>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</si>
  <si>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</si>
  <si>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</si>
  <si>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</si>
  <si>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</si>
  <si>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</si>
  <si>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</si>
  <si>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</si>
  <si>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</si>
  <si>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</si>
  <si>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</si>
  <si>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</si>
  <si>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</si>
  <si>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</si>
  <si>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</si>
  <si>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</si>
  <si>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</si>
  <si>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</si>
  <si>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</si>
  <si>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</si>
  <si>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</si>
  <si>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</si>
  <si>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</si>
  <si>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</si>
  <si>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</si>
  <si>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</si>
  <si>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</si>
  <si>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</si>
  <si>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</si>
  <si>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</si>
  <si>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</si>
  <si>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</si>
  <si>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</si>
  <si>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</si>
  <si>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</si>
  <si>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</si>
  <si>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</si>
  <si>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</si>
  <si>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</si>
  <si>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</si>
  <si>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</si>
  <si>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</si>
  <si>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</si>
  <si>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</si>
  <si>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</si>
  <si>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</si>
  <si>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</si>
  <si>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</si>
  <si>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</si>
  <si>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</si>
  <si>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</si>
  <si>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</si>
  <si>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</si>
  <si>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</si>
  <si>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</si>
  <si>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</si>
  <si>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</si>
  <si>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</si>
  <si>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</si>
  <si>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</si>
  <si>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</si>
  <si>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</si>
  <si>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</si>
  <si>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</si>
  <si>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</si>
  <si>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</si>
  <si>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</si>
  <si>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</si>
  <si>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</si>
  <si>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</si>
  <si>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</si>
  <si>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</si>
  <si>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</si>
  <si>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</si>
  <si>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</si>
  <si>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</si>
  <si>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</si>
  <si>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</si>
  <si>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</si>
  <si>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</si>
  <si>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</si>
  <si>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</si>
  <si>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</si>
  <si>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</si>
  <si>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</si>
  <si>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</si>
  <si>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</si>
  <si>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</si>
  <si>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</si>
  <si>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</si>
  <si>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</si>
  <si>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</si>
  <si>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</si>
  <si>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</si>
  <si>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</si>
  <si>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</si>
  <si>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</si>
  <si>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</si>
  <si>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</si>
  <si>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</si>
  <si>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</si>
  <si>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</si>
  <si>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</si>
  <si>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</si>
  <si>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</si>
  <si>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</si>
  <si>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</si>
  <si>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</si>
  <si>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</si>
  <si>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</si>
  <si>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</si>
  <si>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</si>
  <si>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</si>
  <si>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</si>
  <si>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</si>
  <si>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</si>
  <si>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</si>
  <si>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</si>
  <si>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</si>
  <si>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</si>
  <si>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</si>
  <si>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</si>
  <si>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</si>
  <si>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</si>
  <si>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</si>
  <si>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</si>
  <si>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</si>
  <si>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</si>
  <si>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</si>
  <si>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</si>
  <si>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</si>
  <si>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</si>
  <si>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</si>
  <si>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</si>
  <si>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</si>
  <si>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</si>
  <si>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</si>
  <si>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</si>
  <si>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</si>
  <si>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</si>
  <si>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</si>
  <si>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</si>
  <si>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</si>
  <si>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</si>
  <si>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</si>
  <si>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</si>
  <si>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</si>
  <si>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</si>
  <si>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</si>
  <si>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</si>
  <si>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</si>
  <si>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</si>
  <si>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</si>
  <si>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</si>
  <si>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</si>
  <si>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</si>
  <si>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</si>
  <si>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</si>
  <si>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</si>
  <si>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</si>
  <si>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</si>
  <si>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</si>
  <si>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</si>
  <si>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</si>
  <si>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</si>
  <si>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</si>
  <si>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</si>
  <si>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</si>
  <si>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</si>
  <si>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</si>
  <si>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</si>
  <si>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</si>
  <si>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</si>
  <si>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</si>
  <si>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</si>
  <si>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</si>
  <si>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</si>
  <si>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</si>
  <si>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</si>
  <si>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</si>
  <si>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</si>
  <si>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</si>
  <si>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</si>
  <si>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</si>
  <si>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</si>
  <si>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</si>
  <si>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</si>
  <si>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</si>
  <si>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</si>
  <si>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</si>
  <si>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</si>
  <si>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</si>
  <si>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</si>
  <si>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</si>
  <si>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</si>
  <si>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</si>
  <si>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</si>
  <si>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</si>
  <si>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</si>
  <si>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</si>
  <si>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</si>
  <si>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</si>
  <si>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</si>
  <si>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</si>
  <si>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</si>
  <si>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</si>
  <si>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</si>
  <si>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</si>
  <si>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</si>
  <si>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</si>
  <si>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</si>
  <si>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</si>
  <si>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</si>
  <si>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</si>
  <si>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</si>
  <si>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</si>
  <si>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</si>
  <si>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</si>
  <si>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</si>
  <si>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</si>
  <si>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</si>
  <si>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</si>
  <si>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</si>
  <si>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</si>
  <si>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</si>
  <si>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</si>
  <si>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</si>
  <si>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</si>
  <si>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</si>
  <si>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</si>
  <si>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</si>
  <si>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</si>
  <si>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</si>
  <si>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</si>
  <si>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</si>
  <si>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</si>
  <si>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</si>
  <si>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</si>
  <si>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</si>
  <si>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</si>
  <si>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</si>
  <si>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</si>
  <si>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</si>
  <si>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</si>
  <si>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</si>
  <si>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</si>
  <si>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</si>
  <si>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</si>
  <si>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</si>
  <si>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</si>
  <si>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</si>
  <si>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</si>
  <si>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</si>
  <si>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</si>
  <si>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</si>
  <si>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</si>
  <si>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</si>
  <si>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</si>
  <si>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</si>
  <si>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</si>
  <si>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</si>
  <si>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</si>
  <si>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</si>
  <si>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</si>
  <si>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</si>
  <si>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</si>
  <si>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</si>
  <si>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</si>
  <si>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</si>
  <si>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</si>
  <si>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</si>
  <si>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</si>
  <si>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</si>
  <si>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</si>
  <si>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</si>
  <si>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</si>
  <si>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</si>
  <si>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</si>
  <si>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</si>
  <si>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</si>
  <si>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</si>
  <si>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</si>
  <si>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</si>
  <si>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</si>
  <si>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</si>
  <si>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</si>
  <si>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</si>
  <si>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</si>
  <si>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</si>
  <si>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</si>
  <si>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</si>
  <si>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</si>
  <si>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</si>
  <si>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</si>
  <si>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</si>
  <si>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</si>
  <si>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</si>
  <si>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</si>
  <si>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</si>
  <si>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</si>
  <si>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</si>
  <si>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</si>
  <si>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</si>
  <si>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</si>
  <si>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</si>
  <si>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</si>
  <si>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</si>
  <si>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</si>
  <si>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</si>
  <si>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</si>
  <si>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</si>
  <si>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</si>
  <si>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</si>
  <si>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</si>
  <si>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</si>
  <si>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</si>
  <si>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</si>
  <si>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</si>
  <si>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</si>
  <si>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</si>
  <si>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</si>
  <si>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</si>
  <si>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</si>
  <si>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</si>
  <si>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</si>
  <si>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</si>
  <si>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</si>
  <si>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</si>
  <si>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</si>
  <si>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</si>
  <si>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</si>
  <si>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</si>
  <si>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</si>
  <si>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</si>
  <si>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</si>
  <si>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</si>
  <si>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</si>
  <si>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</si>
  <si>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</si>
  <si>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</si>
  <si>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</si>
  <si>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</si>
  <si>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</si>
  <si>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</si>
  <si>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</si>
  <si>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</si>
  <si>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</si>
  <si>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</si>
  <si>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</si>
  <si>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</si>
  <si>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</si>
  <si>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</si>
  <si>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</si>
  <si>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</si>
  <si>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</si>
  <si>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</si>
  <si>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</si>
  <si>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</si>
  <si>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</si>
  <si>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</si>
  <si>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</si>
  <si>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</si>
  <si>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</si>
  <si>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</si>
  <si>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</si>
  <si>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</si>
  <si>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</si>
  <si>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</si>
  <si>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</si>
  <si>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</si>
  <si>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</si>
  <si>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</si>
  <si>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</si>
  <si>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</si>
  <si>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</si>
  <si>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</si>
  <si>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</si>
  <si>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</si>
  <si>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</si>
  <si>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</si>
  <si>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</si>
  <si>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</si>
  <si>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</si>
  <si>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</si>
  <si>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</si>
  <si>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</si>
  <si>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</si>
  <si>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</si>
  <si>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</si>
  <si>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</si>
  <si>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</si>
  <si>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</si>
  <si>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</si>
  <si>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</si>
  <si>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</si>
  <si>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</si>
  <si>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</si>
  <si>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</si>
  <si>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</si>
  <si>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</si>
  <si>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</si>
  <si>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</si>
  <si>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</si>
  <si>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</si>
  <si>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</si>
  <si>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</si>
  <si>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</si>
  <si>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</si>
  <si>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</si>
  <si>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</si>
  <si>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</si>
  <si>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</si>
  <si>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</si>
  <si>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</si>
  <si>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</si>
  <si>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</si>
  <si>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</si>
  <si>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</si>
  <si>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</si>
  <si>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</si>
  <si>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</si>
  <si>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</si>
  <si>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</si>
  <si>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</si>
  <si>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</si>
  <si>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</si>
  <si>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</si>
  <si>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</si>
  <si>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</si>
  <si>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</si>
  <si>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</si>
  <si>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</si>
  <si>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</si>
  <si>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</si>
  <si>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</si>
  <si>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</si>
  <si>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</si>
  <si>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</si>
  <si>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</si>
  <si>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</si>
  <si>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</si>
  <si>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</si>
  <si>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</si>
  <si>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</si>
  <si>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</si>
  <si>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</si>
  <si>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</si>
  <si>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</si>
  <si>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</si>
  <si>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</si>
  <si>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</si>
  <si>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</si>
  <si>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</si>
  <si>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</si>
  <si>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</si>
  <si>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</si>
  <si>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</si>
  <si>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</si>
  <si>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</si>
  <si>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</si>
  <si>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</si>
  <si>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</si>
  <si>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</si>
  <si>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</si>
  <si>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</si>
  <si>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</si>
  <si>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</si>
  <si>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</si>
  <si>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</si>
  <si>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</si>
  <si>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</si>
  <si>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</si>
  <si>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</si>
  <si>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</si>
  <si>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</si>
  <si>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</si>
  <si>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</si>
  <si>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</si>
  <si>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</si>
  <si>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</si>
  <si>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</si>
  <si>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</si>
  <si>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</si>
  <si>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</si>
  <si>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</si>
  <si>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</si>
  <si>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</si>
  <si>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</si>
  <si>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</si>
  <si>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</si>
  <si>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</si>
  <si>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</si>
  <si>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</si>
  <si>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</si>
  <si>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</si>
  <si>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</si>
  <si>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</si>
  <si>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</si>
  <si>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</si>
  <si>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</si>
  <si>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</si>
  <si>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</si>
  <si>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</si>
  <si>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</si>
  <si>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</si>
  <si>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</si>
  <si>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</si>
  <si>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</si>
  <si>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</si>
  <si>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</si>
  <si>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</si>
  <si>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</si>
  <si>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</si>
  <si>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</si>
  <si>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</si>
  <si>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</si>
  <si>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</si>
  <si>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</si>
  <si>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</si>
  <si>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</si>
  <si>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</si>
  <si>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</si>
  <si>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</si>
  <si>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</si>
  <si>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</si>
  <si>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</si>
  <si>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</si>
  <si>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</si>
  <si>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</si>
  <si>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</si>
  <si>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</si>
  <si>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</si>
  <si>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</si>
  <si>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</si>
  <si>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</si>
  <si>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</si>
  <si>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</si>
  <si>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</si>
  <si>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</si>
  <si>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</si>
  <si>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</si>
  <si>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</si>
  <si>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</si>
  <si>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</si>
  <si>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</si>
  <si>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</si>
  <si>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</si>
  <si>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</si>
  <si>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</si>
  <si>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</si>
  <si>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</si>
  <si>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</si>
  <si>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</si>
  <si>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</si>
  <si>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</si>
  <si>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</si>
  <si>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</si>
  <si>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</si>
  <si>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</si>
  <si>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</si>
  <si>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</si>
  <si>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</si>
  <si>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</si>
  <si>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</si>
  <si>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</si>
  <si>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</si>
  <si>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</si>
  <si>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</si>
  <si>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</si>
  <si>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</si>
  <si>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</si>
  <si>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</si>
  <si>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</si>
  <si>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</si>
  <si>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</si>
  <si>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</si>
  <si>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</si>
  <si>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</si>
  <si>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</si>
  <si>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</si>
  <si>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</si>
  <si>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</si>
  <si>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</si>
  <si>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</si>
  <si>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</si>
  <si>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</si>
  <si>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</si>
  <si>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</si>
  <si>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</si>
  <si>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</si>
  <si>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</si>
  <si>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</si>
  <si>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</si>
  <si>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</si>
  <si>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</si>
  <si>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</si>
  <si>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</si>
  <si>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</si>
  <si>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</si>
  <si>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</si>
  <si>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</si>
  <si>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</si>
  <si>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</si>
  <si>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</si>
  <si>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</si>
  <si>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</si>
  <si>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</si>
  <si>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</si>
  <si>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</si>
  <si>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</si>
  <si>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</si>
  <si>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</si>
  <si>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</si>
  <si>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</si>
  <si>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</si>
  <si>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</si>
  <si>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</si>
  <si>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</si>
  <si>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</si>
  <si>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</si>
  <si>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</si>
  <si>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</si>
  <si>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</si>
  <si>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</si>
  <si>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</si>
  <si>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</si>
  <si>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</si>
  <si>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</si>
  <si>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</si>
  <si>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</si>
  <si>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</si>
  <si>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</si>
  <si>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</si>
  <si>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</si>
  <si>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</si>
  <si>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</si>
  <si>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</si>
  <si>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</si>
  <si>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</si>
  <si>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</si>
  <si>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</si>
  <si>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</si>
  <si>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</si>
  <si>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</si>
  <si>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</si>
  <si>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</si>
  <si>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</si>
  <si>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</si>
  <si>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</si>
  <si>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</si>
  <si>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</si>
  <si>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</si>
  <si>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</si>
  <si>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</si>
  <si>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</si>
  <si>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</si>
  <si>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</si>
  <si>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</si>
  <si>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</si>
  <si>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</si>
  <si>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</si>
  <si>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</si>
  <si>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</si>
  <si>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</si>
  <si>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</si>
  <si>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</si>
  <si>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</si>
  <si>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</si>
  <si>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</si>
  <si>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</si>
  <si>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</si>
  <si>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</si>
  <si>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</si>
  <si>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</si>
  <si>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</si>
  <si>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</si>
  <si>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</si>
  <si>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</si>
  <si>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</si>
  <si>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</si>
  <si>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</si>
  <si>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</si>
  <si>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</si>
  <si>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</si>
  <si>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</si>
  <si>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</si>
  <si>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</si>
  <si>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</si>
  <si>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</si>
  <si>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</si>
  <si>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</si>
  <si>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Qtr1</t>
  </si>
  <si>
    <t>Qtr2</t>
  </si>
  <si>
    <t>Qtr3</t>
  </si>
  <si>
    <t>Qtr4</t>
  </si>
  <si>
    <t>Jan</t>
  </si>
  <si>
    <t>Feb</t>
  </si>
  <si>
    <t>Mar</t>
  </si>
  <si>
    <t>Apr</t>
  </si>
  <si>
    <t>May</t>
  </si>
  <si>
    <t>Jun</t>
  </si>
  <si>
    <t>Jul</t>
  </si>
  <si>
    <t>Aug</t>
  </si>
  <si>
    <t>Sep</t>
  </si>
  <si>
    <t>Oct</t>
  </si>
  <si>
    <t>Nov</t>
  </si>
  <si>
    <t>Dec</t>
  </si>
  <si>
    <t>Count of Order id</t>
  </si>
  <si>
    <t>Sum of Amount</t>
  </si>
  <si>
    <t>Sum of Qty</t>
  </si>
  <si>
    <t>Sum of Profit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</si>
</sst>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3" x14ac:knownFonts="1">
    <font>
      <sz val="11"/>
      <color theme="1"/>
      <name val="Calibri"/>
      <family val="2"/>
      <scheme val="minor"/>
    </font>
    <font>
      <b/>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2" fillId="0" borderId="0" xfId="0" applyFont="1"/>
    <xf numFmtId="1" fontId="2" fillId="0" borderId="0" xfId="0" applyNumberFormat="1" applyFont="1"/>
    <xf numFmtId="0" fontId="2" fillId="0" borderId="0" xfId="0" pivotButton="1" applyFont="1" applyAlignment="1">
      <alignment horizontal="center"/>
    </xf>
    <xf numFmtId="0" fontId="2" fillId="0" borderId="0" xfId="0" applyFont="1" applyAlignment="1">
      <alignment horizontal="center"/>
    </xf>
    <xf numFmtId="1" fontId="2" fillId="0" borderId="0" xfId="0" applyNumberFormat="1" applyFont="1" applyAlignment="1">
      <alignment horizontal="center"/>
    </xf>
    <xf numFmtId="164" fontId="2" fillId="0" borderId="0" xfId="0" applyNumberFormat="1" applyFont="1" applyAlignment="1">
      <alignment horizontal="center"/>
    </xf>
    <xf numFmtId="164" fontId="0" fillId="0" borderId="0" xfId="0" applyNumberFormat="1"/>
    <xf numFmtId="1" fontId="0" fillId="0" borderId="0" xfId="0" applyNumberFormat="1"/>
    <xf numFmtId="0" fontId="2" fillId="0" borderId="0" xfId="0" applyNumberFormat="1" applyFont="1" applyAlignment="1">
      <alignment horizontal="center"/>
    </xf>
  </cellXfs>
  <cellStyles count="1">
    <cellStyle name="Normal" xfId="0" builtinId="0"/>
  </cellStyles>
  <dxfs count="588">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font>
        <sz val="14"/>
      </font>
    </dxf>
    <dxf>
      <font>
        <sz val="14"/>
      </font>
    </dxf>
    <dxf>
      <font>
        <sz val="14"/>
      </font>
    </dxf>
    <dxf>
      <font>
        <sz val="14"/>
      </font>
    </dxf>
    <dxf>
      <alignment horizontal="center"/>
    </dxf>
    <dxf>
      <alignment horizontal="center"/>
    </dxf>
    <dxf>
      <alignment horizontal="center"/>
    </dxf>
    <dxf>
      <alignment horizontal="cent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font>
        <sz val="14"/>
      </font>
    </dxf>
    <dxf>
      <font>
        <sz val="14"/>
      </font>
    </dxf>
    <dxf>
      <font>
        <sz val="14"/>
      </font>
    </dxf>
    <dxf>
      <font>
        <sz val="14"/>
      </font>
    </dxf>
    <dxf>
      <numFmt numFmtId="164" formatCode="&quot;₹&quot;\ #,##0"/>
    </dxf>
    <dxf>
      <numFmt numFmtId="164" formatCode="&quot;₹&quot;\ #,##0"/>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alignment horizontal="center"/>
    </dxf>
    <dxf>
      <alignment horizontal="center"/>
    </dxf>
    <dxf>
      <alignment horizontal="center"/>
    </dxf>
    <dxf>
      <alignment horizontal="center"/>
    </dxf>
    <dxf>
      <font>
        <sz val="14"/>
      </font>
    </dxf>
    <dxf>
      <font>
        <sz val="14"/>
      </font>
    </dxf>
    <dxf>
      <font>
        <sz val="14"/>
      </font>
    </dxf>
    <dxf>
      <font>
        <sz val="14"/>
      </font>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587"/>
      <tableStyleElement type="headerRow" dxfId="58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[Interactive_Sales_Dashboard.xlsx]CAlCULATIONS!PivotTable2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4937112127621"/>
          <c:y val="5.2922305881075118E-2"/>
          <c:w val="0.86411319789283492"/>
          <c:h val="0.92604690908371978"/>
        </c:manualLayout>
      </c:layout>
      <c:barChart>
        <c:barDir val="bar"/>
        <c:grouping val="clustered"/>
        <c:varyColors val="0"/>
        <c:ser>
          <c:idx val="0"/>
          <c:order val="0"/>
          <c:tx>
            <c:strRef>
              <c:f>CAlCULATIONS!$H$1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CAlCULATIONS!$G$2:$G$6</c:f>
              <c:strCache>
                <c:ptCount val="4"/>
                <c:pt idx="0">
                  <c:v>Qtr1</c:v>
                </c:pt>
                <c:pt idx="1">
                  <c:v>Qtr2</c:v>
                </c:pt>
                <c:pt idx="2">
                  <c:v>Qtr3</c:v>
                </c:pt>
                <c:pt idx="3">
                  <c:v>Qtr4</c:v>
                </c:pt>
              </c:strCache>
            </c:strRef>
          </c:cat>
          <c:val>
            <c:numRef>
              <c:f>CAlCULATIONS!$H$2:$H$6</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7360-40A8-A814-0903BDA7A233}"/>
            </c:ext>
          </c:extLst>
        </c:ser>
        <c:dLbls>
          <c:dLblPos val="outEnd"/>
          <c:showLegendKey val="0"/>
          <c:showVal val="1"/>
          <c:showCatName val="0"/>
          <c:showSerName val="0"/>
          <c:showPercent val="0"/>
          <c:showBubbleSize val="0"/>
        </c:dLbls>
        <c:gapWidth val="182"/>
        <c:axId val="1544776895"/>
        <c:axId val="1544792255"/>
      </c:barChart>
      <c:catAx>
        <c:axId val="154477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544792255"/>
        <c:crosses val="autoZero"/>
        <c:auto val="1"/>
        <c:lblAlgn val="ctr"/>
        <c:lblOffset val="100"/>
        <c:noMultiLvlLbl val="0"/>
      </c:catAx>
      <c:valAx>
        <c:axId val="1544792255"/>
        <c:scaling>
          <c:orientation val="minMax"/>
        </c:scaling>
        <c:delete val="1"/>
        <c:axPos val="b"/>
        <c:numFmt formatCode="0" sourceLinked="1"/>
        <c:majorTickMark val="none"/>
        <c:minorTickMark val="none"/>
        <c:tickLblPos val="nextTo"/>
        <c:crossAx val="154477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waterfall" uniqueId="{00000000-AB44-4645-9C38-0177030A3167}">
          <cx:dataPt idx="5">
            <cx:spPr>
              <a:solidFill>
                <a:srgbClr val="92D050"/>
              </a:solidFill>
            </cx:spPr>
          </cx:dataPt>
          <cx:dataLabels pos="outEnd">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idx val="5"/>
            </cx:subtotals>
          </cx:layoutPr>
        </cx:series>
      </cx:plotAreaRegion>
      <cx:axis id="0">
        <cx:catScaling gapWidth="0.5"/>
        <cx:tickLabels/>
        <cx:txPr>
          <a:bodyPr spcFirstLastPara="1" vertOverflow="ellipsis" horzOverflow="overflow" wrap="square" lIns="0" tIns="0" rIns="0" bIns="0" anchor="ctr" anchorCtr="1"/>
          <a:lstStyle/>
          <a:p>
            <a:pPr algn="ctr" rtl="0">
              <a:defRPr sz="800" b="1" i="0" baseline="0"/>
            </a:pPr>
            <a:endParaRPr lang="en-US" sz="8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4DCF-4A55-A9FD-9F0C1226A283}">
          <cx:dataLabels pos="inEnd">
            <cx:txPr>
              <a:bodyPr spcFirstLastPara="1" vertOverflow="ellipsis" horzOverflow="overflow" wrap="square" lIns="0" tIns="0" rIns="0" bIns="0" anchor="ctr" anchorCtr="1"/>
              <a:lstStyle/>
              <a:p>
                <a:pPr algn="ctr" rtl="0">
                  <a:defRPr sz="1000" b="1" i="0" baseline="0"/>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35170</xdr:colOff>
      <xdr:row>0</xdr:row>
      <xdr:rowOff>13855</xdr:rowOff>
    </xdr:from>
    <xdr:to>
      <xdr:col>20</xdr:col>
      <xdr:colOff>415638</xdr:colOff>
      <xdr:row>32</xdr:row>
      <xdr:rowOff>76200</xdr:rowOff>
    </xdr:to>
    <xdr:pic>
      <xdr:nvPicPr>
        <xdr:cNvPr id="3" name="Picture 2">
          <a:extLst>
            <a:ext uri="{FF2B5EF4-FFF2-40B4-BE49-F238E27FC236}">
              <a16:creationId xmlns:a16="http://schemas.microsoft.com/office/drawing/2014/main" id="{FBA8D135-C4E9-27E9-34DB-A28E827A43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170" y="13855"/>
          <a:ext cx="12780286" cy="5825836"/>
        </a:xfrm>
        <a:prstGeom prst="rect">
          <a:avLst/>
        </a:prstGeom>
      </xdr:spPr>
    </xdr:pic>
    <xdr:clientData/>
  </xdr:twoCellAnchor>
  <xdr:twoCellAnchor>
    <xdr:from>
      <xdr:col>0</xdr:col>
      <xdr:colOff>277092</xdr:colOff>
      <xdr:row>7</xdr:row>
      <xdr:rowOff>86096</xdr:rowOff>
    </xdr:from>
    <xdr:to>
      <xdr:col>3</xdr:col>
      <xdr:colOff>561110</xdr:colOff>
      <xdr:row>10</xdr:row>
      <xdr:rowOff>24740</xdr:rowOff>
    </xdr:to>
    <xdr:sp macro="" textlink="CAlCULATIONS!C16">
      <xdr:nvSpPr>
        <xdr:cNvPr id="4" name="Rectangle 3">
          <a:extLst>
            <a:ext uri="{FF2B5EF4-FFF2-40B4-BE49-F238E27FC236}">
              <a16:creationId xmlns:a16="http://schemas.microsoft.com/office/drawing/2014/main" id="{2C074072-4E87-BBA4-7AC7-B3B41CBCBD89}"/>
            </a:ext>
          </a:extLst>
        </xdr:cNvPr>
        <xdr:cNvSpPr/>
      </xdr:nvSpPr>
      <xdr:spPr>
        <a:xfrm>
          <a:off x="277092" y="1346860"/>
          <a:ext cx="2112818" cy="4789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24C19D-15CF-4E99-BF6D-68178D1224BF}" type="TxLink">
            <a:rPr lang="en-US" sz="1600" b="1" i="0" u="none" strike="noStrike">
              <a:solidFill>
                <a:srgbClr val="000000"/>
              </a:solidFill>
              <a:latin typeface="Calibri"/>
              <a:cs typeface="Calibri"/>
            </a:rPr>
            <a:pPr algn="ctr"/>
            <a:t>₹ 98,43,042</a:t>
          </a:fld>
          <a:endParaRPr lang="en-IN" sz="1600" b="1"/>
        </a:p>
      </xdr:txBody>
    </xdr:sp>
    <xdr:clientData/>
  </xdr:twoCellAnchor>
  <xdr:twoCellAnchor>
    <xdr:from>
      <xdr:col>12</xdr:col>
      <xdr:colOff>263236</xdr:colOff>
      <xdr:row>7</xdr:row>
      <xdr:rowOff>78178</xdr:rowOff>
    </xdr:from>
    <xdr:to>
      <xdr:col>15</xdr:col>
      <xdr:colOff>533399</xdr:colOff>
      <xdr:row>10</xdr:row>
      <xdr:rowOff>16822</xdr:rowOff>
    </xdr:to>
    <xdr:sp macro="" textlink="CAlCULATIONS!E16">
      <xdr:nvSpPr>
        <xdr:cNvPr id="5" name="Rectangle 4">
          <a:extLst>
            <a:ext uri="{FF2B5EF4-FFF2-40B4-BE49-F238E27FC236}">
              <a16:creationId xmlns:a16="http://schemas.microsoft.com/office/drawing/2014/main" id="{5953ADE6-2F28-8ABB-1CEB-D8FE2AB70452}"/>
            </a:ext>
          </a:extLst>
        </xdr:cNvPr>
        <xdr:cNvSpPr/>
      </xdr:nvSpPr>
      <xdr:spPr>
        <a:xfrm>
          <a:off x="7578436" y="1338942"/>
          <a:ext cx="2098963" cy="4789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8BBB5A-2B85-4F7C-8BBB-B930F2424125}" type="TxLink">
            <a:rPr lang="en-US" sz="1600" b="1" i="0" u="none" strike="noStrike">
              <a:solidFill>
                <a:srgbClr val="000000"/>
              </a:solidFill>
              <a:latin typeface="Calibri"/>
              <a:cs typeface="Calibri"/>
            </a:rPr>
            <a:pPr algn="ctr"/>
            <a:t>₹ 9,84,304</a:t>
          </a:fld>
          <a:endParaRPr lang="en-IN" sz="1600" b="1"/>
        </a:p>
      </xdr:txBody>
    </xdr:sp>
    <xdr:clientData/>
  </xdr:twoCellAnchor>
  <xdr:twoCellAnchor>
    <xdr:from>
      <xdr:col>8</xdr:col>
      <xdr:colOff>249383</xdr:colOff>
      <xdr:row>7</xdr:row>
      <xdr:rowOff>84114</xdr:rowOff>
    </xdr:from>
    <xdr:to>
      <xdr:col>11</xdr:col>
      <xdr:colOff>547255</xdr:colOff>
      <xdr:row>10</xdr:row>
      <xdr:rowOff>22758</xdr:rowOff>
    </xdr:to>
    <xdr:sp macro="" textlink="CAlCULATIONS!D16">
      <xdr:nvSpPr>
        <xdr:cNvPr id="6" name="Rectangle 5">
          <a:extLst>
            <a:ext uri="{FF2B5EF4-FFF2-40B4-BE49-F238E27FC236}">
              <a16:creationId xmlns:a16="http://schemas.microsoft.com/office/drawing/2014/main" id="{85DCA7C2-63DA-1B51-360B-7BC36F830937}"/>
            </a:ext>
          </a:extLst>
        </xdr:cNvPr>
        <xdr:cNvSpPr/>
      </xdr:nvSpPr>
      <xdr:spPr>
        <a:xfrm>
          <a:off x="5126183" y="1344878"/>
          <a:ext cx="2126672" cy="4789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A78FBF-F398-4FC8-8160-1748627E3A31}" type="TxLink">
            <a:rPr lang="en-US" sz="1600" b="1" i="0" u="none" strike="noStrike">
              <a:solidFill>
                <a:srgbClr val="000000"/>
              </a:solidFill>
              <a:latin typeface="Calibri"/>
              <a:cs typeface="Calibri"/>
            </a:rPr>
            <a:pPr algn="ctr"/>
            <a:t>4280</a:t>
          </a:fld>
          <a:endParaRPr lang="en-IN" sz="1600" b="1"/>
        </a:p>
      </xdr:txBody>
    </xdr:sp>
    <xdr:clientData/>
  </xdr:twoCellAnchor>
  <xdr:twoCellAnchor>
    <xdr:from>
      <xdr:col>4</xdr:col>
      <xdr:colOff>242455</xdr:colOff>
      <xdr:row>7</xdr:row>
      <xdr:rowOff>98961</xdr:rowOff>
    </xdr:from>
    <xdr:to>
      <xdr:col>7</xdr:col>
      <xdr:colOff>505690</xdr:colOff>
      <xdr:row>10</xdr:row>
      <xdr:rowOff>37605</xdr:rowOff>
    </xdr:to>
    <xdr:sp macro="" textlink="CAlCULATIONS!B16">
      <xdr:nvSpPr>
        <xdr:cNvPr id="7" name="Rectangle 6">
          <a:extLst>
            <a:ext uri="{FF2B5EF4-FFF2-40B4-BE49-F238E27FC236}">
              <a16:creationId xmlns:a16="http://schemas.microsoft.com/office/drawing/2014/main" id="{2398EFFB-96B1-3E6D-EA6E-D325747E1AE1}"/>
            </a:ext>
          </a:extLst>
        </xdr:cNvPr>
        <xdr:cNvSpPr/>
      </xdr:nvSpPr>
      <xdr:spPr>
        <a:xfrm>
          <a:off x="2680855" y="1359725"/>
          <a:ext cx="2092035" cy="4789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A2ABC1-42AC-4056-ABFD-B1B47FE3E8A6}" type="TxLink">
            <a:rPr lang="en-US" sz="1600" b="1" i="0" u="none" strike="noStrike">
              <a:solidFill>
                <a:srgbClr val="000000"/>
              </a:solidFill>
              <a:latin typeface="Calibri"/>
              <a:cs typeface="Calibri"/>
            </a:rPr>
            <a:pPr algn="ctr"/>
            <a:t>981</a:t>
          </a:fld>
          <a:endParaRPr lang="en-IN" sz="1600" b="1"/>
        </a:p>
      </xdr:txBody>
    </xdr:sp>
    <xdr:clientData/>
  </xdr:twoCellAnchor>
  <mc:AlternateContent xmlns:mc="http://schemas.openxmlformats.org/markup-compatibility/2006">
    <mc:Choice xmlns:a14="http://schemas.microsoft.com/office/drawing/2010/main" Requires="a14">
      <xdr:twoCellAnchor editAs="oneCell">
        <xdr:from>
          <xdr:col>0</xdr:col>
          <xdr:colOff>284019</xdr:colOff>
          <xdr:row>10</xdr:row>
          <xdr:rowOff>69273</xdr:rowOff>
        </xdr:from>
        <xdr:to>
          <xdr:col>3</xdr:col>
          <xdr:colOff>544189</xdr:colOff>
          <xdr:row>12</xdr:row>
          <xdr:rowOff>166255</xdr:rowOff>
        </xdr:to>
        <xdr:pic>
          <xdr:nvPicPr>
            <xdr:cNvPr id="11" name="Picture 10">
              <a:extLst>
                <a:ext uri="{FF2B5EF4-FFF2-40B4-BE49-F238E27FC236}">
                  <a16:creationId xmlns:a16="http://schemas.microsoft.com/office/drawing/2014/main" id="{536B7912-1D1E-D71F-4E93-AC2D498AA267}"/>
                </a:ext>
              </a:extLst>
            </xdr:cNvPr>
            <xdr:cNvPicPr>
              <a:picLocks noChangeAspect="1" noChangeArrowheads="1"/>
              <a:extLst>
                <a:ext uri="{84589F7E-364E-4C9E-8A38-B11213B215E9}">
                  <a14:cameraTool cellRange="CAlCULATIONS!$C$17" spid="_x0000_s1095"/>
                </a:ext>
              </a:extLst>
            </xdr:cNvPicPr>
          </xdr:nvPicPr>
          <xdr:blipFill>
            <a:blip xmlns:r="http://schemas.openxmlformats.org/officeDocument/2006/relationships" r:embed="rId2"/>
            <a:srcRect/>
            <a:stretch>
              <a:fillRect/>
            </a:stretch>
          </xdr:blipFill>
          <xdr:spPr bwMode="auto">
            <a:xfrm>
              <a:off x="284019" y="1870364"/>
              <a:ext cx="2088970" cy="4572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263237</xdr:colOff>
          <xdr:row>10</xdr:row>
          <xdr:rowOff>71247</xdr:rowOff>
        </xdr:from>
        <xdr:to>
          <xdr:col>7</xdr:col>
          <xdr:colOff>521625</xdr:colOff>
          <xdr:row>12</xdr:row>
          <xdr:rowOff>138545</xdr:rowOff>
        </xdr:to>
        <xdr:pic>
          <xdr:nvPicPr>
            <xdr:cNvPr id="13" name="Picture 12">
              <a:extLst>
                <a:ext uri="{FF2B5EF4-FFF2-40B4-BE49-F238E27FC236}">
                  <a16:creationId xmlns:a16="http://schemas.microsoft.com/office/drawing/2014/main" id="{B2B764A7-4B31-49DD-7576-20A61EACC2FB}"/>
                </a:ext>
              </a:extLst>
            </xdr:cNvPr>
            <xdr:cNvPicPr>
              <a:picLocks noChangeAspect="1" noChangeArrowheads="1"/>
              <a:extLst>
                <a:ext uri="{84589F7E-364E-4C9E-8A38-B11213B215E9}">
                  <a14:cameraTool cellRange="CAlCULATIONS!$B$17" spid="_x0000_s1096"/>
                </a:ext>
              </a:extLst>
            </xdr:cNvPicPr>
          </xdr:nvPicPr>
          <xdr:blipFill>
            <a:blip xmlns:r="http://schemas.openxmlformats.org/officeDocument/2006/relationships" r:embed="rId3"/>
            <a:srcRect/>
            <a:stretch>
              <a:fillRect/>
            </a:stretch>
          </xdr:blipFill>
          <xdr:spPr bwMode="auto">
            <a:xfrm>
              <a:off x="2701637" y="1872338"/>
              <a:ext cx="2087188" cy="42751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263237</xdr:colOff>
          <xdr:row>10</xdr:row>
          <xdr:rowOff>65309</xdr:rowOff>
        </xdr:from>
        <xdr:to>
          <xdr:col>11</xdr:col>
          <xdr:colOff>518555</xdr:colOff>
          <xdr:row>12</xdr:row>
          <xdr:rowOff>146459</xdr:rowOff>
        </xdr:to>
        <xdr:pic>
          <xdr:nvPicPr>
            <xdr:cNvPr id="15" name="Picture 14">
              <a:extLst>
                <a:ext uri="{FF2B5EF4-FFF2-40B4-BE49-F238E27FC236}">
                  <a16:creationId xmlns:a16="http://schemas.microsoft.com/office/drawing/2014/main" id="{6EE3B3BD-58D1-27DA-AD64-BA43633CD9F6}"/>
                </a:ext>
              </a:extLst>
            </xdr:cNvPr>
            <xdr:cNvPicPr>
              <a:picLocks noChangeAspect="1" noChangeArrowheads="1"/>
              <a:extLst>
                <a:ext uri="{84589F7E-364E-4C9E-8A38-B11213B215E9}">
                  <a14:cameraTool cellRange="CAlCULATIONS!$D$17" spid="_x0000_s1097"/>
                </a:ext>
              </a:extLst>
            </xdr:cNvPicPr>
          </xdr:nvPicPr>
          <xdr:blipFill>
            <a:blip xmlns:r="http://schemas.openxmlformats.org/officeDocument/2006/relationships" r:embed="rId4"/>
            <a:srcRect/>
            <a:stretch>
              <a:fillRect/>
            </a:stretch>
          </xdr:blipFill>
          <xdr:spPr bwMode="auto">
            <a:xfrm>
              <a:off x="5140037" y="1866400"/>
              <a:ext cx="2084118" cy="44136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263236</xdr:colOff>
          <xdr:row>10</xdr:row>
          <xdr:rowOff>69273</xdr:rowOff>
        </xdr:from>
        <xdr:to>
          <xdr:col>15</xdr:col>
          <xdr:colOff>512617</xdr:colOff>
          <xdr:row>12</xdr:row>
          <xdr:rowOff>153386</xdr:rowOff>
        </xdr:to>
        <xdr:pic>
          <xdr:nvPicPr>
            <xdr:cNvPr id="17" name="Picture 16">
              <a:extLst>
                <a:ext uri="{FF2B5EF4-FFF2-40B4-BE49-F238E27FC236}">
                  <a16:creationId xmlns:a16="http://schemas.microsoft.com/office/drawing/2014/main" id="{7D20B80A-AC95-0339-7600-181C317F6A94}"/>
                </a:ext>
              </a:extLst>
            </xdr:cNvPr>
            <xdr:cNvPicPr>
              <a:picLocks noChangeAspect="1" noChangeArrowheads="1"/>
              <a:extLst>
                <a:ext uri="{84589F7E-364E-4C9E-8A38-B11213B215E9}">
                  <a14:cameraTool cellRange="CAlCULATIONS!$E$17" spid="_x0000_s1098"/>
                </a:ext>
              </a:extLst>
            </xdr:cNvPicPr>
          </xdr:nvPicPr>
          <xdr:blipFill>
            <a:blip xmlns:r="http://schemas.openxmlformats.org/officeDocument/2006/relationships" r:embed="rId5"/>
            <a:srcRect/>
            <a:stretch>
              <a:fillRect/>
            </a:stretch>
          </xdr:blipFill>
          <xdr:spPr bwMode="auto">
            <a:xfrm>
              <a:off x="7578436" y="1870364"/>
              <a:ext cx="2078181" cy="4443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187037</xdr:colOff>
      <xdr:row>6</xdr:row>
      <xdr:rowOff>156358</xdr:rowOff>
    </xdr:from>
    <xdr:to>
      <xdr:col>20</xdr:col>
      <xdr:colOff>249383</xdr:colOff>
      <xdr:row>13</xdr:row>
      <xdr:rowOff>20780</xdr:rowOff>
    </xdr:to>
    <xdr:graphicFrame macro="">
      <xdr:nvGraphicFramePr>
        <xdr:cNvPr id="18" name="Chart 17">
          <a:extLst>
            <a:ext uri="{FF2B5EF4-FFF2-40B4-BE49-F238E27FC236}">
              <a16:creationId xmlns:a16="http://schemas.microsoft.com/office/drawing/2014/main" id="{BC64A1DD-D461-4104-AFDA-7EADA2BD4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185895</xdr:colOff>
      <xdr:row>16</xdr:row>
      <xdr:rowOff>27710</xdr:rowOff>
    </xdr:from>
    <xdr:to>
      <xdr:col>8</xdr:col>
      <xdr:colOff>6927</xdr:colOff>
      <xdr:row>31</xdr:row>
      <xdr:rowOff>131390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366CDA7A-3A2D-4621-85F0-7CB4BE2B3D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5895" y="2909455"/>
              <a:ext cx="4697832" cy="28053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206866</xdr:colOff>
      <xdr:row>16</xdr:row>
      <xdr:rowOff>20782</xdr:rowOff>
    </xdr:from>
    <xdr:to>
      <xdr:col>16</xdr:col>
      <xdr:colOff>6927</xdr:colOff>
      <xdr:row>31</xdr:row>
      <xdr:rowOff>93026</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02D32914-27F8-4BCE-A161-B79A4039BC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083666" y="2902527"/>
              <a:ext cx="4676861" cy="27738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194644</xdr:colOff>
      <xdr:row>27</xdr:row>
      <xdr:rowOff>109841</xdr:rowOff>
    </xdr:from>
    <xdr:to>
      <xdr:col>20</xdr:col>
      <xdr:colOff>242455</xdr:colOff>
      <xdr:row>31</xdr:row>
      <xdr:rowOff>90051</xdr:rowOff>
    </xdr:to>
    <mc:AlternateContent xmlns:mc="http://schemas.openxmlformats.org/markup-compatibility/2006">
      <mc:Choice xmlns:a14="http://schemas.microsoft.com/office/drawing/2010/main" Requires="a14">
        <xdr:graphicFrame macro="">
          <xdr:nvGraphicFramePr>
            <xdr:cNvPr id="21" name="Year">
              <a:extLst>
                <a:ext uri="{FF2B5EF4-FFF2-40B4-BE49-F238E27FC236}">
                  <a16:creationId xmlns:a16="http://schemas.microsoft.com/office/drawing/2014/main" id="{62424F12-24B0-44B0-A6E8-34D4AF706B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48244" y="4972786"/>
              <a:ext cx="2694029" cy="700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202116</xdr:colOff>
      <xdr:row>16</xdr:row>
      <xdr:rowOff>1089</xdr:rowOff>
    </xdr:from>
    <xdr:to>
      <xdr:col>20</xdr:col>
      <xdr:colOff>242455</xdr:colOff>
      <xdr:row>20</xdr:row>
      <xdr:rowOff>166254</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7AFA38CE-8952-4653-A624-026223F7BA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55716" y="2882834"/>
              <a:ext cx="2686557" cy="885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187174</xdr:colOff>
      <xdr:row>21</xdr:row>
      <xdr:rowOff>17019</xdr:rowOff>
    </xdr:from>
    <xdr:to>
      <xdr:col>20</xdr:col>
      <xdr:colOff>249382</xdr:colOff>
      <xdr:row>27</xdr:row>
      <xdr:rowOff>76195</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722A3232-D5FD-4B85-949D-2D855C2E30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40774" y="3799310"/>
              <a:ext cx="2708426" cy="1139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4.496509143515" createdVersion="8" refreshedVersion="8" minRefreshableVersion="3" recordCount="981" xr:uid="{DA2B1BBF-6A8C-4B6A-8B09-A5653B1522CB}">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879405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530652-A55C-40B6-ABA0-154D4004E4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6"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formats count="8">
    <format dxfId="555">
      <pivotArea type="all" dataOnly="0" outline="0" fieldPosition="0"/>
    </format>
    <format dxfId="554">
      <pivotArea outline="0" collapsedLevelsAreSubtotals="1" fieldPosition="0"/>
    </format>
    <format dxfId="553">
      <pivotArea field="12" type="button" dataOnly="0" labelOnly="1" outline="0"/>
    </format>
    <format dxfId="552">
      <pivotArea dataOnly="0" labelOnly="1" grandRow="1" outline="0" fieldPosition="0"/>
    </format>
    <format dxfId="551">
      <pivotArea type="all" dataOnly="0" outline="0" fieldPosition="0"/>
    </format>
    <format dxfId="550">
      <pivotArea outline="0" collapsedLevelsAreSubtotals="1" fieldPosition="0"/>
    </format>
    <format dxfId="549">
      <pivotArea field="12" type="button" dataOnly="0" labelOnly="1" outline="0"/>
    </format>
    <format dxfId="548">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64689C-1C3B-47D2-A9D5-C127A75FCF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4"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numFmtId="1"/>
    <dataField name="Sum of Profit 10%" fld="11" baseField="0" baseItem="0" numFmtId="164"/>
  </dataFields>
  <formats count="14">
    <format dxfId="569">
      <pivotArea type="all" dataOnly="0" outline="0" fieldPosition="0"/>
    </format>
    <format dxfId="568">
      <pivotArea outline="0" collapsedLevelsAreSubtotals="1" fieldPosition="0"/>
    </format>
    <format dxfId="567">
      <pivotArea field="12" type="button" dataOnly="0" labelOnly="1" outline="0" axis="axisRow" fieldPosition="0"/>
    </format>
    <format dxfId="566">
      <pivotArea dataOnly="0" labelOnly="1" fieldPosition="0">
        <references count="1">
          <reference field="12" count="12">
            <x v="1"/>
            <x v="2"/>
            <x v="3"/>
            <x v="4"/>
            <x v="5"/>
            <x v="6"/>
            <x v="7"/>
            <x v="8"/>
            <x v="9"/>
            <x v="10"/>
            <x v="11"/>
            <x v="12"/>
          </reference>
        </references>
      </pivotArea>
    </format>
    <format dxfId="565">
      <pivotArea dataOnly="0" labelOnly="1" grandRow="1" outline="0" fieldPosition="0"/>
    </format>
    <format dxfId="564">
      <pivotArea dataOnly="0" labelOnly="1" outline="0" fieldPosition="0">
        <references count="1">
          <reference field="4294967294" count="4">
            <x v="0"/>
            <x v="1"/>
            <x v="2"/>
            <x v="3"/>
          </reference>
        </references>
      </pivotArea>
    </format>
    <format dxfId="563">
      <pivotArea type="all" dataOnly="0" outline="0" fieldPosition="0"/>
    </format>
    <format dxfId="562">
      <pivotArea outline="0" collapsedLevelsAreSubtotals="1" fieldPosition="0"/>
    </format>
    <format dxfId="561">
      <pivotArea field="12" type="button" dataOnly="0" labelOnly="1" outline="0" axis="axisRow" fieldPosition="0"/>
    </format>
    <format dxfId="560">
      <pivotArea dataOnly="0" labelOnly="1" fieldPosition="0">
        <references count="1">
          <reference field="12" count="12">
            <x v="1"/>
            <x v="2"/>
            <x v="3"/>
            <x v="4"/>
            <x v="5"/>
            <x v="6"/>
            <x v="7"/>
            <x v="8"/>
            <x v="9"/>
            <x v="10"/>
            <x v="11"/>
            <x v="12"/>
          </reference>
        </references>
      </pivotArea>
    </format>
    <format dxfId="559">
      <pivotArea dataOnly="0" labelOnly="1" grandRow="1" outline="0" fieldPosition="0"/>
    </format>
    <format dxfId="558">
      <pivotArea dataOnly="0" labelOnly="1" outline="0" fieldPosition="0">
        <references count="1">
          <reference field="4294967294" count="4">
            <x v="0"/>
            <x v="1"/>
            <x v="2"/>
            <x v="3"/>
          </reference>
        </references>
      </pivotArea>
    </format>
    <format dxfId="557">
      <pivotArea outline="0" collapsedLevelsAreSubtotals="1" fieldPosition="0">
        <references count="1">
          <reference field="4294967294" count="1" selected="0">
            <x v="1"/>
          </reference>
        </references>
      </pivotArea>
    </format>
    <format dxfId="556">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BA1293-DDB1-4CDF-BC9F-6F0CAF1E78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1:Q7"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formats count="8">
    <format dxfId="577">
      <pivotArea type="all" dataOnly="0" outline="0" fieldPosition="0"/>
    </format>
    <format dxfId="576">
      <pivotArea outline="0" collapsedLevelsAreSubtotals="1" fieldPosition="0"/>
    </format>
    <format dxfId="575">
      <pivotArea field="12" type="button" dataOnly="0" labelOnly="1" outline="0"/>
    </format>
    <format dxfId="574">
      <pivotArea dataOnly="0" labelOnly="1" grandRow="1" outline="0" fieldPosition="0"/>
    </format>
    <format dxfId="573">
      <pivotArea type="all" dataOnly="0" outline="0" fieldPosition="0"/>
    </format>
    <format dxfId="572">
      <pivotArea outline="0" collapsedLevelsAreSubtotals="1" fieldPosition="0"/>
    </format>
    <format dxfId="571">
      <pivotArea field="12" type="button" dataOnly="0" labelOnly="1" outline="0"/>
    </format>
    <format dxfId="57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951B95-3181-462A-AC07-1508B6B6DC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7"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formats count="8">
    <format dxfId="585">
      <pivotArea type="all" dataOnly="0" outline="0" fieldPosition="0"/>
    </format>
    <format dxfId="584">
      <pivotArea outline="0" collapsedLevelsAreSubtotals="1" fieldPosition="0"/>
    </format>
    <format dxfId="583">
      <pivotArea field="12" type="button" dataOnly="0" labelOnly="1" outline="0"/>
    </format>
    <format dxfId="582">
      <pivotArea dataOnly="0" labelOnly="1" grandRow="1" outline="0" fieldPosition="0"/>
    </format>
    <format dxfId="581">
      <pivotArea type="all" dataOnly="0" outline="0" fieldPosition="0"/>
    </format>
    <format dxfId="580">
      <pivotArea outline="0" collapsedLevelsAreSubtotals="1" fieldPosition="0"/>
    </format>
    <format dxfId="579">
      <pivotArea field="12" type="button" dataOnly="0" labelOnly="1" outline="0"/>
    </format>
    <format dxfId="578">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921C64-1119-4022-8C51-71F860F0C3E1}" sourceName="Year">
  <pivotTables>
    <pivotTable tabId="3" name="PivotTable4"/>
    <pivotTable tabId="3" name="PivotTable1"/>
    <pivotTable tabId="3" name="PivotTable2"/>
    <pivotTable tabId="3" name="PivotTable3"/>
  </pivotTables>
  <data>
    <tabular pivotCacheId="8794056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5E2525-9220-4886-A743-12A1BC19E2F5}" sourceName="Region">
  <pivotTables>
    <pivotTable tabId="3" name="PivotTable4"/>
    <pivotTable tabId="3" name="PivotTable1"/>
    <pivotTable tabId="3" name="PivotTable2"/>
    <pivotTable tabId="3" name="PivotTable3"/>
  </pivotTables>
  <data>
    <tabular pivotCacheId="87940569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2DB66D-8A24-4F26-B31D-A8BA3AD2AE10}" sourceName="Category">
  <pivotTables>
    <pivotTable tabId="3" name="PivotTable4"/>
    <pivotTable tabId="3" name="PivotTable1"/>
    <pivotTable tabId="3" name="PivotTable2"/>
    <pivotTable tabId="3" name="PivotTable3"/>
  </pivotTables>
  <data>
    <tabular pivotCacheId="879405698">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8BA44C6-6907-45BD-AA85-859316F41411}" cache="Slicer_Year" caption="Year" columnCount="3" style="SlicerStyleDark1 2" rowHeight="234950"/>
  <slicer name="Region" xr10:uid="{DDBF3D5E-EE6D-4438-B034-2493902E4936}" cache="Slicer_Region" caption="Region" columnCount="2" style="SlicerStyleDark1 2" rowHeight="234950"/>
  <slicer name="Category" xr10:uid="{DA6A3252-B7B0-4660-BCEC-90AFB582FD85}" cache="Slicer_Category" caption="Category" columnCount="2"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547" headerRowBorderDxfId="546" tableBorderDxfId="545" totalsRowBorderDxfId="544">
  <autoFilter ref="A1:L982" xr:uid="{E19AB663-728B-44F6-985E-1D8C95121989}"/>
  <tableColumns count="12">
    <tableColumn id="1" xr3:uid="{8A263E07-6562-4FDE-8CF1-ABB102B41B8C}" name="Order id" dataDxfId="543"/>
    <tableColumn id="2" xr3:uid="{4C79B0CB-5C3D-4862-99DF-9C04124C4644}" name="Order Date" dataDxfId="542"/>
    <tableColumn id="12" xr3:uid="{70D4102A-D594-494C-A8A0-DDEC2FBC4B49}" name="Year" dataDxfId="541"/>
    <tableColumn id="5" xr3:uid="{3EAD1D59-D1A0-46DF-89AB-60CB0FBB0E3E}" name="Cust ID" dataDxfId="540"/>
    <tableColumn id="4" xr3:uid="{73EC9212-AEC7-4A4D-AFC3-DA0360C3979C}" name="Region" dataDxfId="539"/>
    <tableColumn id="6" xr3:uid="{6DF3B24F-0E5E-40FC-B84A-676B5B7DC2BC}" name="Cust Name" dataDxfId="538"/>
    <tableColumn id="7" xr3:uid="{FD101823-19FE-4295-B68A-7EC142A170E4}" name="Category" dataDxfId="537"/>
    <tableColumn id="8" xr3:uid="{F5F8C87A-2D23-4545-8E76-D384637BE990}" name="Product" dataDxfId="536"/>
    <tableColumn id="9" xr3:uid="{B49C350A-3D11-4AC5-9D48-2AF360002573}" name="Price" dataDxfId="535"/>
    <tableColumn id="10" xr3:uid="{59CABBCF-7E24-4C66-8E23-0B1C0716D785}" name="Qty" dataDxfId="534"/>
    <tableColumn id="11" xr3:uid="{06B1E381-CA97-44FD-B887-048CF50AD965}" name="Amount" dataDxfId="533">
      <calculatedColumnFormula>I2*J2</calculatedColumnFormula>
    </tableColumn>
    <tableColumn id="3" xr3:uid="{C4CB82B3-DA29-450F-B86A-E6D660E55A22}" name="Profit 10%" dataDxfId="532">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1B349-02FA-48B0-861C-87FB4BF4983C}">
  <dimension ref="A1"/>
  <sheetViews>
    <sheetView showGridLines="0" tabSelected="1" zoomScale="110" zoomScaleNormal="110" zoomScaleSheetLayoutView="95" workbookViewId="0">
      <selection activeCell="S34" sqref="S34"/>
    </sheetView>
  </sheetViews>
  <sheetFormatPr defaultRowHeight="14.4" x14ac:dyDescent="0.3"/>
  <cols>
    <col min="16" max="16" width="8.88671875" customWidth="1"/>
    <col min="17" max="17" width="10.21875" customWidth="1"/>
    <col min="18" max="18" width="9.77734375" customWidth="1"/>
    <col min="19" max="19" width="9.66406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0B990-16F4-421A-853D-19E1D9F96002}">
  <dimension ref="A1:T18"/>
  <sheetViews>
    <sheetView workbookViewId="0">
      <selection activeCell="D16" sqref="D16"/>
    </sheetView>
  </sheetViews>
  <sheetFormatPr defaultRowHeight="14.4" x14ac:dyDescent="0.3"/>
  <cols>
    <col min="1" max="1" width="17.33203125" bestFit="1" customWidth="1"/>
    <col min="2" max="2" width="19.44140625" bestFit="1" customWidth="1"/>
    <col min="3" max="3" width="17.6640625" bestFit="1" customWidth="1"/>
    <col min="4" max="4" width="12.77734375" bestFit="1" customWidth="1"/>
    <col min="5" max="5" width="20.109375" bestFit="1" customWidth="1"/>
    <col min="7" max="7" width="17.33203125" bestFit="1" customWidth="1"/>
    <col min="8" max="8" width="17.6640625" bestFit="1" customWidth="1"/>
    <col min="9" max="9" width="5.109375" customWidth="1"/>
    <col min="10" max="10" width="17.33203125" bestFit="1" customWidth="1"/>
    <col min="11" max="11" width="17.6640625" bestFit="1" customWidth="1"/>
    <col min="12" max="12" width="5.33203125" customWidth="1"/>
    <col min="13" max="13" width="14.6640625" customWidth="1"/>
    <col min="14" max="14" width="12.44140625" customWidth="1"/>
    <col min="16" max="16" width="17.33203125" bestFit="1" customWidth="1"/>
    <col min="17" max="17" width="12.77734375" bestFit="1" customWidth="1"/>
    <col min="18" max="18" width="4.5546875" customWidth="1"/>
    <col min="19" max="19" width="12.44140625" customWidth="1"/>
  </cols>
  <sheetData>
    <row r="1" spans="1:20" ht="18" x14ac:dyDescent="0.35">
      <c r="A1" s="15" t="s">
        <v>1319</v>
      </c>
      <c r="B1" s="16" t="s">
        <v>1337</v>
      </c>
      <c r="C1" s="16" t="s">
        <v>1338</v>
      </c>
      <c r="D1" s="16" t="s">
        <v>1339</v>
      </c>
      <c r="E1" s="16" t="s">
        <v>1340</v>
      </c>
      <c r="G1" s="15" t="s">
        <v>1319</v>
      </c>
      <c r="H1" s="16" t="s">
        <v>1338</v>
      </c>
      <c r="J1" s="15" t="s">
        <v>1319</v>
      </c>
      <c r="K1" s="16" t="s">
        <v>1338</v>
      </c>
      <c r="P1" s="15" t="s">
        <v>1319</v>
      </c>
      <c r="Q1" s="16" t="s">
        <v>1339</v>
      </c>
    </row>
    <row r="2" spans="1:20" ht="18" x14ac:dyDescent="0.35">
      <c r="A2" s="16" t="s">
        <v>1325</v>
      </c>
      <c r="B2" s="21">
        <v>86</v>
      </c>
      <c r="C2" s="18">
        <v>880260</v>
      </c>
      <c r="D2" s="17">
        <v>399</v>
      </c>
      <c r="E2" s="18">
        <v>88026</v>
      </c>
      <c r="G2" s="16" t="s">
        <v>1321</v>
      </c>
      <c r="H2" s="17">
        <v>2414032</v>
      </c>
      <c r="J2" s="16" t="s">
        <v>25</v>
      </c>
      <c r="K2" s="17">
        <v>1974370</v>
      </c>
      <c r="M2" s="16" t="s">
        <v>25</v>
      </c>
      <c r="N2" s="13">
        <f>GETPIVOTDATA("Amount",$J$1,"Category",J2)</f>
        <v>1974370</v>
      </c>
      <c r="P2" s="16" t="s">
        <v>25</v>
      </c>
      <c r="Q2" s="17">
        <v>857.4</v>
      </c>
      <c r="S2" s="16" t="s">
        <v>25</v>
      </c>
      <c r="T2" s="14">
        <f>GETPIVOTDATA("Qty",$P$1,"Category",P2)</f>
        <v>857.4</v>
      </c>
    </row>
    <row r="3" spans="1:20" ht="18" x14ac:dyDescent="0.35">
      <c r="A3" s="16" t="s">
        <v>1326</v>
      </c>
      <c r="B3" s="21">
        <v>81</v>
      </c>
      <c r="C3" s="18">
        <v>696422</v>
      </c>
      <c r="D3" s="17">
        <v>307.8</v>
      </c>
      <c r="E3" s="18">
        <v>69642.2</v>
      </c>
      <c r="G3" s="16" t="s">
        <v>1322</v>
      </c>
      <c r="H3" s="17">
        <v>2368180</v>
      </c>
      <c r="J3" s="16" t="s">
        <v>15</v>
      </c>
      <c r="K3" s="17">
        <v>1677384</v>
      </c>
      <c r="M3" s="16" t="s">
        <v>15</v>
      </c>
      <c r="N3" s="13">
        <f t="shared" ref="N3:N6" si="0">GETPIVOTDATA("Amount",$J$1,"Category",J3)</f>
        <v>1677384</v>
      </c>
      <c r="P3" s="16" t="s">
        <v>15</v>
      </c>
      <c r="Q3" s="17">
        <v>821.6</v>
      </c>
      <c r="S3" s="16" t="s">
        <v>15</v>
      </c>
      <c r="T3" s="14">
        <f t="shared" ref="T3:T6" si="1">GETPIVOTDATA("Qty",$P$1,"Category",P3)</f>
        <v>821.6</v>
      </c>
    </row>
    <row r="4" spans="1:20" ht="18" x14ac:dyDescent="0.35">
      <c r="A4" s="16" t="s">
        <v>1327</v>
      </c>
      <c r="B4" s="21">
        <v>92</v>
      </c>
      <c r="C4" s="18">
        <v>837350</v>
      </c>
      <c r="D4" s="17">
        <v>370</v>
      </c>
      <c r="E4" s="18">
        <v>83735</v>
      </c>
      <c r="G4" s="16" t="s">
        <v>1323</v>
      </c>
      <c r="H4" s="17">
        <v>3095380</v>
      </c>
      <c r="J4" s="16" t="s">
        <v>20</v>
      </c>
      <c r="K4" s="17">
        <v>1999150</v>
      </c>
      <c r="M4" s="16" t="s">
        <v>20</v>
      </c>
      <c r="N4" s="13">
        <f t="shared" si="0"/>
        <v>1999150</v>
      </c>
      <c r="P4" s="16" t="s">
        <v>20</v>
      </c>
      <c r="Q4" s="17">
        <v>870</v>
      </c>
      <c r="S4" s="16" t="s">
        <v>20</v>
      </c>
      <c r="T4" s="14">
        <f t="shared" si="1"/>
        <v>870</v>
      </c>
    </row>
    <row r="5" spans="1:20" ht="18" x14ac:dyDescent="0.35">
      <c r="A5" s="16" t="s">
        <v>1328</v>
      </c>
      <c r="B5" s="21">
        <v>86</v>
      </c>
      <c r="C5" s="18">
        <v>837920</v>
      </c>
      <c r="D5" s="17">
        <v>339</v>
      </c>
      <c r="E5" s="18">
        <v>83792</v>
      </c>
      <c r="G5" s="16" t="s">
        <v>1324</v>
      </c>
      <c r="H5" s="17">
        <v>1965450</v>
      </c>
      <c r="J5" s="16" t="s">
        <v>33</v>
      </c>
      <c r="K5" s="17">
        <v>2175180</v>
      </c>
      <c r="M5" s="16" t="s">
        <v>33</v>
      </c>
      <c r="N5" s="13">
        <f t="shared" si="0"/>
        <v>2175180</v>
      </c>
      <c r="P5" s="16" t="s">
        <v>33</v>
      </c>
      <c r="Q5" s="17">
        <v>842.2</v>
      </c>
      <c r="S5" s="16" t="s">
        <v>33</v>
      </c>
      <c r="T5" s="14">
        <f t="shared" si="1"/>
        <v>842.2</v>
      </c>
    </row>
    <row r="6" spans="1:20" ht="18" x14ac:dyDescent="0.35">
      <c r="A6" s="16" t="s">
        <v>1329</v>
      </c>
      <c r="B6" s="21">
        <v>89</v>
      </c>
      <c r="C6" s="18">
        <v>653680</v>
      </c>
      <c r="D6" s="17">
        <v>307</v>
      </c>
      <c r="E6" s="18">
        <v>65368</v>
      </c>
      <c r="G6" s="16" t="s">
        <v>1320</v>
      </c>
      <c r="H6" s="17">
        <v>9843042</v>
      </c>
      <c r="J6" s="16" t="s">
        <v>29</v>
      </c>
      <c r="K6" s="17">
        <v>2016958</v>
      </c>
      <c r="M6" s="16" t="s">
        <v>29</v>
      </c>
      <c r="N6" s="13">
        <f t="shared" si="0"/>
        <v>2016958</v>
      </c>
      <c r="P6" s="16" t="s">
        <v>29</v>
      </c>
      <c r="Q6" s="17">
        <v>888.6</v>
      </c>
      <c r="S6" s="16" t="s">
        <v>29</v>
      </c>
      <c r="T6" s="14">
        <f t="shared" si="1"/>
        <v>888.6</v>
      </c>
    </row>
    <row r="7" spans="1:20" ht="18" x14ac:dyDescent="0.35">
      <c r="A7" s="16" t="s">
        <v>1330</v>
      </c>
      <c r="B7" s="21">
        <v>90</v>
      </c>
      <c r="C7" s="18">
        <v>876580</v>
      </c>
      <c r="D7" s="17">
        <v>383</v>
      </c>
      <c r="E7" s="18">
        <v>87658</v>
      </c>
      <c r="J7" s="16" t="s">
        <v>1320</v>
      </c>
      <c r="K7" s="17">
        <v>9843042</v>
      </c>
      <c r="M7" s="16" t="s">
        <v>1320</v>
      </c>
      <c r="N7" s="13">
        <f>SUM(N2:N6)</f>
        <v>9843042</v>
      </c>
      <c r="P7" s="16" t="s">
        <v>1320</v>
      </c>
      <c r="Q7" s="17">
        <v>4279.8</v>
      </c>
      <c r="S7" s="16"/>
    </row>
    <row r="8" spans="1:20" ht="18" x14ac:dyDescent="0.35">
      <c r="A8" s="16" t="s">
        <v>1331</v>
      </c>
      <c r="B8" s="21">
        <v>88</v>
      </c>
      <c r="C8" s="18">
        <v>1181320</v>
      </c>
      <c r="D8" s="17">
        <v>514</v>
      </c>
      <c r="E8" s="18">
        <v>118132</v>
      </c>
    </row>
    <row r="9" spans="1:20" ht="18" x14ac:dyDescent="0.35">
      <c r="A9" s="16" t="s">
        <v>1332</v>
      </c>
      <c r="B9" s="21">
        <v>81</v>
      </c>
      <c r="C9" s="18">
        <v>917730</v>
      </c>
      <c r="D9" s="17">
        <v>386</v>
      </c>
      <c r="E9" s="18">
        <v>91773</v>
      </c>
    </row>
    <row r="10" spans="1:20" ht="18" x14ac:dyDescent="0.35">
      <c r="A10" s="16" t="s">
        <v>1333</v>
      </c>
      <c r="B10" s="21">
        <v>82</v>
      </c>
      <c r="C10" s="18">
        <v>996330</v>
      </c>
      <c r="D10" s="17">
        <v>443</v>
      </c>
      <c r="E10" s="18">
        <v>99633</v>
      </c>
    </row>
    <row r="11" spans="1:20" ht="18" x14ac:dyDescent="0.35">
      <c r="A11" s="16" t="s">
        <v>1334</v>
      </c>
      <c r="B11" s="21">
        <v>86</v>
      </c>
      <c r="C11" s="18">
        <v>668480</v>
      </c>
      <c r="D11" s="17">
        <v>313</v>
      </c>
      <c r="E11" s="18">
        <v>66848</v>
      </c>
    </row>
    <row r="12" spans="1:20" ht="18" x14ac:dyDescent="0.35">
      <c r="A12" s="16" t="s">
        <v>1335</v>
      </c>
      <c r="B12" s="21">
        <v>56</v>
      </c>
      <c r="C12" s="18">
        <v>560120</v>
      </c>
      <c r="D12" s="17">
        <v>255</v>
      </c>
      <c r="E12" s="18">
        <v>56012</v>
      </c>
    </row>
    <row r="13" spans="1:20" ht="18" x14ac:dyDescent="0.35">
      <c r="A13" s="16" t="s">
        <v>1336</v>
      </c>
      <c r="B13" s="21">
        <v>64</v>
      </c>
      <c r="C13" s="18">
        <v>736850</v>
      </c>
      <c r="D13" s="17">
        <v>263</v>
      </c>
      <c r="E13" s="18">
        <v>73685</v>
      </c>
    </row>
    <row r="14" spans="1:20" ht="18" x14ac:dyDescent="0.35">
      <c r="A14" s="16" t="s">
        <v>1320</v>
      </c>
      <c r="B14" s="21">
        <v>981</v>
      </c>
      <c r="C14" s="18">
        <v>9843042</v>
      </c>
      <c r="D14" s="17">
        <v>4279.8</v>
      </c>
      <c r="E14" s="18">
        <v>984304.2</v>
      </c>
    </row>
    <row r="15" spans="1:20" ht="18" x14ac:dyDescent="0.35">
      <c r="C15" s="19"/>
      <c r="E15" s="19"/>
    </row>
    <row r="16" spans="1:20" ht="18" x14ac:dyDescent="0.35">
      <c r="B16">
        <f>GETPIVOTDATA("Count of Order id",$A$1)</f>
        <v>981</v>
      </c>
      <c r="C16" s="19">
        <f>GETPIVOTDATA("Sum of Amount",$A$1)</f>
        <v>9843042</v>
      </c>
      <c r="D16" s="20">
        <f>GETPIVOTDATA("Sum of Qty",$A$1)</f>
        <v>4279.8</v>
      </c>
      <c r="E16" s="19">
        <f>GETPIVOTDATA("Sum of Profit 10%",$A$1)</f>
        <v>984304.2</v>
      </c>
    </row>
    <row r="17" ht="39.6" customHeight="1" x14ac:dyDescent="0.35"/>
    <row r="18" ht="18" x14ac:dyDescent="0.35"/>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low="1" xr2:uid="{A065B758-8718-43B5-87D6-F93FD3B61DA7}">
          <x14:colorSeries rgb="FF376092"/>
          <x14:colorNegative rgb="FFD00000"/>
          <x14:colorAxis rgb="FF000000"/>
          <x14:colorMarkers rgb="FFD00000"/>
          <x14:colorFirst rgb="FFD00000"/>
          <x14:colorLast rgb="FFD00000"/>
          <x14:colorHigh theme="9"/>
          <x14:colorLow rgb="FFFF0000"/>
          <x14:sparklines>
            <x14:sparkline>
              <xm:f>CAlCULATIONS!B2:B13</xm:f>
              <xm:sqref>B17</xm:sqref>
            </x14:sparkline>
            <x14:sparkline>
              <xm:f>CAlCULATIONS!C2:C13</xm:f>
              <xm:sqref>C17</xm:sqref>
            </x14:sparkline>
            <x14:sparkline>
              <xm:f>CAlCULATIONS!D2:D13</xm:f>
              <xm:sqref>D17</xm:sqref>
            </x14:sparkline>
            <x14:sparkline>
              <xm:f>CAlCULATIONS!E2:E13</xm:f>
              <xm:sqref>E17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 zoomScale="81" zoomScaleNormal="145" workbookViewId="0">
      <selection activeCell="B2" sqref="B2"/>
    </sheetView>
  </sheetViews>
  <sheetFormatPr defaultRowHeight="14.4" x14ac:dyDescent="0.3"/>
  <cols>
    <col min="2" max="2" width="14.88671875" customWidth="1"/>
    <col min="3" max="3" width="9.88671875" customWidth="1"/>
    <col min="4" max="4" width="12.109375" customWidth="1"/>
    <col min="5" max="5" width="10.88671875" customWidth="1"/>
    <col min="6" max="6" width="13.44140625" customWidth="1"/>
    <col min="7" max="7" width="11.6640625" customWidth="1"/>
    <col min="8" max="8" width="13" customWidth="1"/>
    <col min="9" max="9" width="11.109375" customWidth="1"/>
    <col min="11" max="11" width="10.33203125" customWidth="1"/>
    <col min="12" max="12" width="13.33203125" customWidth="1"/>
  </cols>
  <sheetData>
    <row r="1" spans="1:12" x14ac:dyDescent="0.3">
      <c r="A1" s="9" t="s">
        <v>0</v>
      </c>
      <c r="B1" s="10" t="s">
        <v>1</v>
      </c>
      <c r="C1" s="11" t="s">
        <v>2</v>
      </c>
      <c r="D1" s="10" t="s">
        <v>3</v>
      </c>
      <c r="E1" s="10" t="s">
        <v>4</v>
      </c>
      <c r="F1" s="10" t="s">
        <v>5</v>
      </c>
      <c r="G1" s="10" t="s">
        <v>6</v>
      </c>
      <c r="H1" s="10" t="s">
        <v>7</v>
      </c>
      <c r="I1" s="10" t="s">
        <v>8</v>
      </c>
      <c r="J1" s="11" t="s">
        <v>9</v>
      </c>
      <c r="K1" s="11" t="s">
        <v>10</v>
      </c>
      <c r="L1" s="12" t="s">
        <v>11</v>
      </c>
    </row>
    <row r="2" spans="1:12" x14ac:dyDescent="0.3">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CAlCULATIONS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Shrinivasan Murugan</cp:lastModifiedBy>
  <dcterms:created xsi:type="dcterms:W3CDTF">2022-11-14T04:15:02Z</dcterms:created>
  <dcterms:modified xsi:type="dcterms:W3CDTF">2026-06-01T08:45:08Z</dcterms:modified>
</cp:coreProperties>
</file>